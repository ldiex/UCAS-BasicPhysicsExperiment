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129"/>
  <workbookPr/>
  <mc:AlternateContent xmlns:mc="http://schemas.openxmlformats.org/markup-compatibility/2006">
    <mc:Choice Requires="x15">
      <x15ac:absPath xmlns:x15ac="http://schemas.microsoft.com/office/spreadsheetml/2010/11/ac" url="C:\Users\diex\Documents\Codes\texdocs\BPE\EX2\"/>
    </mc:Choice>
  </mc:AlternateContent>
  <xr:revisionPtr revIDLastSave="0" documentId="13_ncr:1_{C95FD6F1-EE78-4A28-8F5A-D9FC4CBF839B}" xr6:coauthVersionLast="47" xr6:coauthVersionMax="47" xr10:uidLastSave="{00000000-0000-0000-0000-000000000000}"/>
  <bookViews>
    <workbookView xWindow="10072" yWindow="1792" windowWidth="18000" windowHeight="10973" xr2:uid="{00000000-000D-0000-FFFF-FFFF00000000}"/>
  </bookViews>
  <sheets>
    <sheet name="Sheet1" sheetId="1" r:id="rId1"/>
    <sheet name="Sheet2" sheetId="2" r:id="rId2"/>
  </sheets>
  <definedNames>
    <definedName name="_Hlk89469416" localSheetId="0">Sheet1!$F$26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K30" i="2" l="1"/>
  <c r="L30" i="2"/>
  <c r="K22" i="2"/>
  <c r="C30" i="2"/>
  <c r="D30" i="2"/>
  <c r="E30" i="2"/>
  <c r="F30" i="2"/>
  <c r="G30" i="2"/>
  <c r="H30" i="2"/>
  <c r="I30" i="2"/>
  <c r="J30" i="2"/>
  <c r="B30" i="2"/>
  <c r="C25" i="2"/>
  <c r="D25" i="2"/>
  <c r="E25" i="2"/>
  <c r="F25" i="2"/>
  <c r="G25" i="2"/>
  <c r="H25" i="2"/>
  <c r="B25" i="2"/>
  <c r="C22" i="2"/>
  <c r="D22" i="2"/>
  <c r="E22" i="2"/>
  <c r="F22" i="2"/>
  <c r="G22" i="2"/>
  <c r="H22" i="2"/>
  <c r="I22" i="2"/>
  <c r="J22" i="2"/>
  <c r="B22" i="2"/>
  <c r="C19" i="2"/>
  <c r="D19" i="2"/>
  <c r="E19" i="2"/>
  <c r="F19" i="2"/>
  <c r="G19" i="2"/>
  <c r="H19" i="2"/>
  <c r="I19" i="2"/>
  <c r="J19" i="2"/>
  <c r="K19" i="2"/>
  <c r="B19" i="2"/>
  <c r="B16" i="2"/>
  <c r="C16" i="2"/>
  <c r="D16" i="2"/>
  <c r="E16" i="2"/>
  <c r="F16" i="2"/>
  <c r="G16" i="2"/>
  <c r="H16" i="2"/>
  <c r="I16" i="2"/>
  <c r="J16" i="2"/>
  <c r="K16" i="2"/>
  <c r="L3" i="2"/>
  <c r="K3" i="2"/>
  <c r="J3" i="2"/>
  <c r="I3" i="2"/>
  <c r="H3" i="2"/>
  <c r="G3" i="2"/>
  <c r="F3" i="2"/>
  <c r="E3" i="2"/>
  <c r="D3" i="2"/>
  <c r="C3" i="2"/>
  <c r="B3" i="2"/>
</calcChain>
</file>

<file path=xl/sharedStrings.xml><?xml version="1.0" encoding="utf-8"?>
<sst xmlns="http://schemas.openxmlformats.org/spreadsheetml/2006/main" count="62" uniqueCount="28">
  <si>
    <t>Is(mA)</t>
  </si>
  <si>
    <r>
      <t>V</t>
    </r>
    <r>
      <rPr>
        <vertAlign val="subscript"/>
        <sz val="10.5"/>
        <color theme="1"/>
        <rFont val="宋体"/>
        <family val="3"/>
        <charset val="134"/>
      </rPr>
      <t>1</t>
    </r>
    <r>
      <rPr>
        <sz val="10.5"/>
        <color theme="1"/>
        <rFont val="宋体"/>
        <family val="3"/>
        <charset val="134"/>
      </rPr>
      <t>(mV)</t>
    </r>
  </si>
  <si>
    <r>
      <t>V</t>
    </r>
    <r>
      <rPr>
        <vertAlign val="subscript"/>
        <sz val="10.5"/>
        <color theme="1"/>
        <rFont val="宋体"/>
        <family val="3"/>
        <charset val="134"/>
      </rPr>
      <t>2</t>
    </r>
    <r>
      <rPr>
        <sz val="10.5"/>
        <color theme="1"/>
        <rFont val="宋体"/>
        <family val="3"/>
        <charset val="134"/>
      </rPr>
      <t>(mV)</t>
    </r>
  </si>
  <si>
    <r>
      <t>V</t>
    </r>
    <r>
      <rPr>
        <vertAlign val="subscript"/>
        <sz val="10.5"/>
        <color theme="1"/>
        <rFont val="宋体"/>
        <family val="3"/>
        <charset val="134"/>
      </rPr>
      <t>3</t>
    </r>
    <r>
      <rPr>
        <sz val="10.5"/>
        <color theme="1"/>
        <rFont val="宋体"/>
        <family val="3"/>
        <charset val="134"/>
      </rPr>
      <t>(mV)</t>
    </r>
  </si>
  <si>
    <r>
      <t>V</t>
    </r>
    <r>
      <rPr>
        <vertAlign val="subscript"/>
        <sz val="10.5"/>
        <color theme="1"/>
        <rFont val="宋体"/>
        <family val="3"/>
        <charset val="134"/>
      </rPr>
      <t>4</t>
    </r>
    <r>
      <rPr>
        <sz val="10.5"/>
        <color theme="1"/>
        <rFont val="宋体"/>
        <family val="3"/>
        <charset val="134"/>
      </rPr>
      <t>(mV)</t>
    </r>
  </si>
  <si>
    <r>
      <t>+I</t>
    </r>
    <r>
      <rPr>
        <vertAlign val="subscript"/>
        <sz val="10.5"/>
        <color theme="1"/>
        <rFont val="宋体"/>
        <family val="3"/>
        <charset val="134"/>
      </rPr>
      <t>M</t>
    </r>
    <r>
      <rPr>
        <sz val="10.5"/>
        <color theme="1"/>
        <rFont val="宋体"/>
        <family val="3"/>
        <charset val="134"/>
      </rPr>
      <t xml:space="preserve"> +Is </t>
    </r>
  </si>
  <si>
    <r>
      <t>+I</t>
    </r>
    <r>
      <rPr>
        <vertAlign val="subscript"/>
        <sz val="10.5"/>
        <color theme="1"/>
        <rFont val="宋体"/>
        <family val="3"/>
        <charset val="134"/>
      </rPr>
      <t>M</t>
    </r>
    <r>
      <rPr>
        <sz val="10.5"/>
        <color theme="1"/>
        <rFont val="宋体"/>
        <family val="3"/>
        <charset val="134"/>
      </rPr>
      <t xml:space="preserve"> -Is</t>
    </r>
  </si>
  <si>
    <r>
      <t>-I</t>
    </r>
    <r>
      <rPr>
        <vertAlign val="subscript"/>
        <sz val="10.5"/>
        <color theme="1"/>
        <rFont val="宋体"/>
        <family val="3"/>
        <charset val="134"/>
      </rPr>
      <t>M</t>
    </r>
    <r>
      <rPr>
        <sz val="10.5"/>
        <color theme="1"/>
        <rFont val="宋体"/>
        <family val="3"/>
        <charset val="134"/>
      </rPr>
      <t xml:space="preserve"> -Is </t>
    </r>
  </si>
  <si>
    <r>
      <t>-I</t>
    </r>
    <r>
      <rPr>
        <vertAlign val="subscript"/>
        <sz val="10.5"/>
        <color theme="1"/>
        <rFont val="宋体"/>
        <family val="3"/>
        <charset val="134"/>
      </rPr>
      <t>M</t>
    </r>
    <r>
      <rPr>
        <sz val="10.5"/>
        <color theme="1"/>
        <rFont val="宋体"/>
        <family val="3"/>
        <charset val="134"/>
      </rPr>
      <t xml:space="preserve"> +Is</t>
    </r>
  </si>
  <si>
    <t>V(mV)</t>
    <phoneticPr fontId="3" type="noConversion"/>
  </si>
  <si>
    <r>
      <t>I</t>
    </r>
    <r>
      <rPr>
        <vertAlign val="subscript"/>
        <sz val="10.5"/>
        <color theme="1"/>
        <rFont val="宋体"/>
        <family val="3"/>
        <charset val="134"/>
      </rPr>
      <t>M</t>
    </r>
    <r>
      <rPr>
        <sz val="10.5"/>
        <color theme="1"/>
        <rFont val="宋体"/>
        <family val="3"/>
        <charset val="134"/>
      </rPr>
      <t>(mA)</t>
    </r>
    <phoneticPr fontId="3" type="noConversion"/>
  </si>
  <si>
    <t>V (mV)</t>
    <phoneticPr fontId="3" type="noConversion"/>
  </si>
  <si>
    <r>
      <t>B</t>
    </r>
    <r>
      <rPr>
        <vertAlign val="subscript"/>
        <sz val="10.5"/>
        <color theme="1"/>
        <rFont val="宋体"/>
        <family val="3"/>
        <charset val="134"/>
      </rPr>
      <t>1</t>
    </r>
    <r>
      <rPr>
        <sz val="10.5"/>
        <color theme="1"/>
        <rFont val="宋体"/>
        <family val="3"/>
        <charset val="134"/>
      </rPr>
      <t>(mT)</t>
    </r>
  </si>
  <si>
    <r>
      <t>B</t>
    </r>
    <r>
      <rPr>
        <vertAlign val="subscript"/>
        <sz val="10.5"/>
        <color theme="1"/>
        <rFont val="宋体"/>
        <family val="3"/>
        <charset val="134"/>
      </rPr>
      <t>2</t>
    </r>
    <r>
      <rPr>
        <sz val="10.5"/>
        <color theme="1"/>
        <rFont val="宋体"/>
        <family val="3"/>
        <charset val="134"/>
      </rPr>
      <t>(mT)</t>
    </r>
  </si>
  <si>
    <r>
      <t>B</t>
    </r>
    <r>
      <rPr>
        <vertAlign val="subscript"/>
        <sz val="10.5"/>
        <color theme="1"/>
        <rFont val="宋体"/>
        <family val="3"/>
        <charset val="134"/>
      </rPr>
      <t>3</t>
    </r>
    <r>
      <rPr>
        <sz val="10.5"/>
        <color theme="1"/>
        <rFont val="宋体"/>
        <family val="3"/>
        <charset val="134"/>
      </rPr>
      <t>(mT)</t>
    </r>
  </si>
  <si>
    <r>
      <t>B</t>
    </r>
    <r>
      <rPr>
        <vertAlign val="subscript"/>
        <sz val="10.5"/>
        <color theme="1"/>
        <rFont val="宋体"/>
        <family val="3"/>
        <charset val="134"/>
      </rPr>
      <t>4</t>
    </r>
    <r>
      <rPr>
        <sz val="10.5"/>
        <color theme="1"/>
        <rFont val="宋体"/>
        <family val="3"/>
        <charset val="134"/>
      </rPr>
      <t>(mT)</t>
    </r>
  </si>
  <si>
    <r>
      <t>+I</t>
    </r>
    <r>
      <rPr>
        <vertAlign val="subscript"/>
        <sz val="10.5"/>
        <color theme="1"/>
        <rFont val="宋体"/>
        <family val="3"/>
        <charset val="134"/>
      </rPr>
      <t xml:space="preserve">M </t>
    </r>
    <r>
      <rPr>
        <sz val="10.5"/>
        <color theme="1"/>
        <rFont val="宋体"/>
        <family val="3"/>
        <charset val="134"/>
      </rPr>
      <t>-Is</t>
    </r>
  </si>
  <si>
    <t>B(mT)</t>
    <phoneticPr fontId="3" type="noConversion"/>
  </si>
  <si>
    <t>X/ｍｍ</t>
  </si>
  <si>
    <t>B/mT</t>
  </si>
  <si>
    <t>I</t>
  </si>
  <si>
    <t>B</t>
  </si>
  <si>
    <t>V</t>
  </si>
  <si>
    <t>X</t>
  </si>
  <si>
    <t>U</t>
  </si>
  <si>
    <t>theta</t>
  </si>
  <si>
    <t>U compute</t>
  </si>
  <si>
    <t>f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</si>
</sst>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80" formatCode="0.0"/>
    <numFmt numFmtId="181" formatCode="0.000"/>
  </numFmts>
  <fonts count="6" x14ac:knownFonts="1">
    <font>
      <sz val="11"/>
      <color theme="1"/>
      <name val="等线"/>
      <family val="2"/>
      <scheme val="minor"/>
    </font>
    <font>
      <sz val="10.5"/>
      <color theme="1"/>
      <name val="宋体"/>
      <family val="3"/>
      <charset val="134"/>
    </font>
    <font>
      <vertAlign val="subscript"/>
      <sz val="10.5"/>
      <color theme="1"/>
      <name val="宋体"/>
      <family val="3"/>
      <charset val="134"/>
    </font>
    <font>
      <sz val="9"/>
      <name val="等线"/>
      <family val="3"/>
      <charset val="134"/>
      <scheme val="minor"/>
    </font>
    <font>
      <sz val="10"/>
      <color rgb="FF000000"/>
      <name val="等线"/>
      <family val="2"/>
      <scheme val="minor"/>
    </font>
    <font>
      <sz val="10"/>
      <color theme="1"/>
      <name val="等线"/>
      <family val="2"/>
      <scheme val="minor"/>
    </font>
  </fonts>
  <fills count="2">
    <fill>
      <patternFill patternType="none"/>
    </fill>
    <fill>
      <patternFill patternType="gray125"/>
    </fill>
  </fills>
  <borders count="10">
    <border>
      <left/>
      <right/>
      <top/>
      <bottom/>
      <diagonal/>
    </border>
    <border>
      <left style="medium">
        <color indexed="64"/>
      </left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 style="medium">
        <color indexed="64"/>
      </right>
      <top/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rgb="FF000000"/>
      </left>
      <right style="medium">
        <color rgb="FF000000"/>
      </right>
      <top style="medium">
        <color rgb="FF000000"/>
      </top>
      <bottom style="medium">
        <color rgb="FF000000"/>
      </bottom>
      <diagonal/>
    </border>
    <border>
      <left/>
      <right style="medium">
        <color rgb="FF000000"/>
      </right>
      <top style="medium">
        <color rgb="FF000000"/>
      </top>
      <bottom style="medium">
        <color rgb="FF000000"/>
      </bottom>
      <diagonal/>
    </border>
    <border>
      <left style="medium">
        <color rgb="FF000000"/>
      </left>
      <right style="medium">
        <color rgb="FF000000"/>
      </right>
      <top/>
      <bottom style="medium">
        <color rgb="FF000000"/>
      </bottom>
      <diagonal/>
    </border>
    <border>
      <left/>
      <right style="medium">
        <color rgb="FF000000"/>
      </right>
      <top/>
      <bottom style="medium">
        <color rgb="FF000000"/>
      </bottom>
      <diagonal/>
    </border>
  </borders>
  <cellStyleXfs count="2">
    <xf numFmtId="0" fontId="0" fillId="0" borderId="0"/>
    <xf numFmtId="0" fontId="4" fillId="0" borderId="0"/>
  </cellStyleXfs>
  <cellXfs count="26">
    <xf numFmtId="0" fontId="0" fillId="0" borderId="0" xfId="0"/>
    <xf numFmtId="0" fontId="1" fillId="0" borderId="3" xfId="0" applyFont="1" applyBorder="1" applyAlignment="1">
      <alignment horizontal="center" vertical="center" wrapText="1"/>
    </xf>
    <xf numFmtId="0" fontId="1" fillId="0" borderId="4" xfId="0" applyFont="1" applyBorder="1" applyAlignment="1">
      <alignment horizontal="center" vertical="center" wrapText="1"/>
    </xf>
    <xf numFmtId="0" fontId="1" fillId="0" borderId="2" xfId="0" applyFont="1" applyBorder="1" applyAlignment="1">
      <alignment horizontal="center" vertical="center" wrapText="1"/>
    </xf>
    <xf numFmtId="0" fontId="1" fillId="0" borderId="1" xfId="0" applyFont="1" applyBorder="1" applyAlignment="1">
      <alignment horizontal="center" vertical="center" wrapText="1"/>
    </xf>
    <xf numFmtId="0" fontId="1" fillId="0" borderId="2" xfId="0" applyFont="1" applyBorder="1" applyAlignment="1">
      <alignment horizontal="center" vertical="center" wrapText="1"/>
    </xf>
    <xf numFmtId="0" fontId="1" fillId="0" borderId="5" xfId="0" applyFont="1" applyBorder="1" applyAlignment="1">
      <alignment horizontal="center" vertical="center" wrapText="1"/>
    </xf>
    <xf numFmtId="0" fontId="1" fillId="0" borderId="5" xfId="0" applyFont="1" applyBorder="1" applyAlignment="1">
      <alignment horizontal="center" vertical="center" wrapText="1"/>
    </xf>
    <xf numFmtId="180" fontId="5" fillId="0" borderId="5" xfId="1" applyNumberFormat="1" applyFont="1" applyBorder="1"/>
    <xf numFmtId="180" fontId="1" fillId="0" borderId="4" xfId="0" applyNumberFormat="1" applyFont="1" applyBorder="1" applyAlignment="1">
      <alignment horizontal="center" vertical="center" wrapText="1"/>
    </xf>
    <xf numFmtId="2" fontId="1" fillId="0" borderId="5" xfId="0" applyNumberFormat="1" applyFont="1" applyBorder="1" applyAlignment="1">
      <alignment horizontal="center" vertical="center" wrapText="1"/>
    </xf>
    <xf numFmtId="0" fontId="1" fillId="0" borderId="4" xfId="0" applyFont="1" applyBorder="1" applyAlignment="1">
      <alignment horizontal="justify" vertical="center" wrapText="1"/>
    </xf>
    <xf numFmtId="0" fontId="1" fillId="0" borderId="6" xfId="0" applyFont="1" applyBorder="1" applyAlignment="1">
      <alignment horizontal="center" vertical="center" wrapText="1"/>
    </xf>
    <xf numFmtId="0" fontId="1" fillId="0" borderId="7" xfId="0" applyFont="1" applyBorder="1" applyAlignment="1">
      <alignment horizontal="center" vertical="center" wrapText="1"/>
    </xf>
    <xf numFmtId="0" fontId="1" fillId="0" borderId="8" xfId="0" applyFont="1" applyBorder="1" applyAlignment="1">
      <alignment horizontal="center" vertical="center" wrapText="1"/>
    </xf>
    <xf numFmtId="0" fontId="1" fillId="0" borderId="9" xfId="0" applyFont="1" applyBorder="1" applyAlignment="1">
      <alignment horizontal="center" vertical="center" wrapText="1"/>
    </xf>
    <xf numFmtId="0" fontId="1" fillId="0" borderId="9" xfId="0" applyFont="1" applyBorder="1" applyAlignment="1">
      <alignment horizontal="justify" vertical="center" wrapText="1"/>
    </xf>
    <xf numFmtId="181" fontId="0" fillId="0" borderId="0" xfId="0" applyNumberFormat="1"/>
    <xf numFmtId="180" fontId="5" fillId="0" borderId="0" xfId="1" applyNumberFormat="1" applyFont="1"/>
    <xf numFmtId="0" fontId="5" fillId="0" borderId="0" xfId="1" applyFont="1"/>
    <xf numFmtId="2" fontId="5" fillId="0" borderId="0" xfId="1" applyNumberFormat="1" applyFont="1"/>
    <xf numFmtId="0" fontId="4" fillId="0" borderId="0" xfId="1"/>
    <xf numFmtId="0" fontId="5" fillId="0" borderId="0" xfId="1" applyFont="1"/>
    <xf numFmtId="2" fontId="5" fillId="0" borderId="0" xfId="1" applyNumberFormat="1" applyFont="1"/>
    <xf numFmtId="181" fontId="4" fillId="0" borderId="0" xfId="1" applyNumberFormat="1"/>
    <xf numFmtId="2" fontId="4" fillId="0" borderId="0" xfId="1" applyNumberFormat="1"/>
  </cellXfs>
  <cellStyles count="2">
    <cellStyle name="Normal" xfId="0" builtinId="0"/>
    <cellStyle name="Normal 2" xfId="1" xr:uid="{B8224B4D-1EA9-405D-97B7-9EF10F2C5706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I39"/>
  <sheetViews>
    <sheetView tabSelected="1" topLeftCell="A25" workbookViewId="0">
      <selection activeCell="D41" sqref="D41"/>
    </sheetView>
  </sheetViews>
  <sheetFormatPr defaultRowHeight="13.9" x14ac:dyDescent="0.4"/>
  <sheetData>
    <row r="1" spans="1:6" ht="16.149999999999999" x14ac:dyDescent="0.4">
      <c r="A1" s="6" t="s">
        <v>0</v>
      </c>
      <c r="B1" s="7" t="s">
        <v>1</v>
      </c>
      <c r="C1" s="7" t="s">
        <v>2</v>
      </c>
      <c r="D1" s="7" t="s">
        <v>3</v>
      </c>
      <c r="E1" s="7" t="s">
        <v>4</v>
      </c>
      <c r="F1" s="6" t="s">
        <v>9</v>
      </c>
    </row>
    <row r="2" spans="1:6" ht="16.149999999999999" x14ac:dyDescent="0.4">
      <c r="A2" s="6"/>
      <c r="B2" s="7" t="s">
        <v>5</v>
      </c>
      <c r="C2" s="7" t="s">
        <v>6</v>
      </c>
      <c r="D2" s="7" t="s">
        <v>7</v>
      </c>
      <c r="E2" s="7" t="s">
        <v>8</v>
      </c>
      <c r="F2" s="6"/>
    </row>
    <row r="3" spans="1:6" x14ac:dyDescent="0.4">
      <c r="A3" s="10">
        <v>0</v>
      </c>
      <c r="B3" s="8">
        <v>0</v>
      </c>
      <c r="C3" s="8">
        <v>0</v>
      </c>
      <c r="D3" s="8">
        <v>0</v>
      </c>
      <c r="E3" s="8">
        <v>0</v>
      </c>
      <c r="F3" s="8">
        <v>0</v>
      </c>
    </row>
    <row r="4" spans="1:6" x14ac:dyDescent="0.4">
      <c r="A4" s="10">
        <v>0.5</v>
      </c>
      <c r="B4" s="8">
        <v>27.1</v>
      </c>
      <c r="C4" s="8">
        <v>-27.1</v>
      </c>
      <c r="D4" s="8">
        <v>27.9</v>
      </c>
      <c r="E4" s="8">
        <v>-27.9</v>
      </c>
      <c r="F4" s="8">
        <v>27.5</v>
      </c>
    </row>
    <row r="5" spans="1:6" x14ac:dyDescent="0.4">
      <c r="A5" s="10">
        <v>1</v>
      </c>
      <c r="B5" s="8">
        <v>53.9</v>
      </c>
      <c r="C5" s="8">
        <v>-53.9</v>
      </c>
      <c r="D5" s="8">
        <v>55.3</v>
      </c>
      <c r="E5" s="8">
        <v>-55.3</v>
      </c>
      <c r="F5" s="8">
        <v>54.6</v>
      </c>
    </row>
    <row r="6" spans="1:6" x14ac:dyDescent="0.4">
      <c r="A6" s="10">
        <v>1.5</v>
      </c>
      <c r="B6" s="8">
        <v>80.599999999999994</v>
      </c>
      <c r="C6" s="8">
        <v>-80.599999999999994</v>
      </c>
      <c r="D6" s="8">
        <v>82.7</v>
      </c>
      <c r="E6" s="8">
        <v>-82.7</v>
      </c>
      <c r="F6" s="8">
        <v>81.599999999999994</v>
      </c>
    </row>
    <row r="7" spans="1:6" x14ac:dyDescent="0.4">
      <c r="A7" s="10">
        <v>2</v>
      </c>
      <c r="B7" s="8">
        <v>107.5</v>
      </c>
      <c r="C7" s="8">
        <v>-107.4</v>
      </c>
      <c r="D7" s="8">
        <v>110.3</v>
      </c>
      <c r="E7" s="8">
        <v>-110.3</v>
      </c>
      <c r="F7" s="8">
        <v>108.9</v>
      </c>
    </row>
    <row r="8" spans="1:6" x14ac:dyDescent="0.4">
      <c r="A8" s="10">
        <v>2.5</v>
      </c>
      <c r="B8" s="8">
        <v>134.19999999999999</v>
      </c>
      <c r="C8" s="8">
        <v>-134.19999999999999</v>
      </c>
      <c r="D8" s="8">
        <v>137.80000000000001</v>
      </c>
      <c r="E8" s="8">
        <v>-137.69999999999999</v>
      </c>
      <c r="F8" s="8">
        <v>136</v>
      </c>
    </row>
    <row r="9" spans="1:6" x14ac:dyDescent="0.4">
      <c r="A9" s="10">
        <v>3</v>
      </c>
      <c r="B9" s="8">
        <v>161.1</v>
      </c>
      <c r="C9" s="8">
        <v>-161</v>
      </c>
      <c r="D9" s="8">
        <v>165.4</v>
      </c>
      <c r="E9" s="8">
        <v>-165.3</v>
      </c>
      <c r="F9" s="8">
        <v>163.19999999999999</v>
      </c>
    </row>
    <row r="11" spans="1:6" ht="14.25" thickBot="1" x14ac:dyDescent="0.45"/>
    <row r="12" spans="1:6" ht="16.5" thickBot="1" x14ac:dyDescent="0.45">
      <c r="A12" s="4" t="s">
        <v>10</v>
      </c>
      <c r="B12" s="1" t="s">
        <v>1</v>
      </c>
      <c r="C12" s="1" t="s">
        <v>2</v>
      </c>
      <c r="D12" s="1" t="s">
        <v>3</v>
      </c>
      <c r="E12" s="1" t="s">
        <v>4</v>
      </c>
      <c r="F12" s="4" t="s">
        <v>11</v>
      </c>
    </row>
    <row r="13" spans="1:6" ht="16.5" thickBot="1" x14ac:dyDescent="0.45">
      <c r="A13" s="5"/>
      <c r="B13" s="2" t="s">
        <v>5</v>
      </c>
      <c r="C13" s="2" t="s">
        <v>6</v>
      </c>
      <c r="D13" s="2" t="s">
        <v>7</v>
      </c>
      <c r="E13" s="2" t="s">
        <v>8</v>
      </c>
      <c r="F13" s="5"/>
    </row>
    <row r="14" spans="1:6" ht="14.25" thickBot="1" x14ac:dyDescent="0.45">
      <c r="A14" s="3">
        <v>0</v>
      </c>
      <c r="B14" s="9">
        <v>0</v>
      </c>
      <c r="C14" s="9">
        <v>0</v>
      </c>
      <c r="D14" s="9">
        <v>0</v>
      </c>
      <c r="E14" s="9">
        <v>0</v>
      </c>
      <c r="F14" s="9">
        <v>0</v>
      </c>
    </row>
    <row r="15" spans="1:6" ht="14.25" thickBot="1" x14ac:dyDescent="0.45">
      <c r="A15" s="3">
        <v>50</v>
      </c>
      <c r="B15" s="9">
        <v>13.2</v>
      </c>
      <c r="C15" s="9">
        <v>-13.1</v>
      </c>
      <c r="D15" s="9">
        <v>14.6</v>
      </c>
      <c r="E15" s="9">
        <v>-14.6</v>
      </c>
      <c r="F15" s="9">
        <v>13.9</v>
      </c>
    </row>
    <row r="16" spans="1:6" ht="14.25" thickBot="1" x14ac:dyDescent="0.45">
      <c r="A16" s="3">
        <v>100</v>
      </c>
      <c r="B16" s="9">
        <v>26.6</v>
      </c>
      <c r="C16" s="9">
        <v>-26.6</v>
      </c>
      <c r="D16" s="9">
        <v>28.2</v>
      </c>
      <c r="E16" s="9">
        <v>-28.2</v>
      </c>
      <c r="F16" s="9">
        <v>27.4</v>
      </c>
    </row>
    <row r="17" spans="1:9" ht="14.25" thickBot="1" x14ac:dyDescent="0.45">
      <c r="A17" s="3">
        <v>150</v>
      </c>
      <c r="B17" s="9">
        <v>40.1</v>
      </c>
      <c r="C17" s="9">
        <v>-40.1</v>
      </c>
      <c r="D17" s="9">
        <v>41.7</v>
      </c>
      <c r="E17" s="9">
        <v>-41.7</v>
      </c>
      <c r="F17" s="9">
        <v>40.9</v>
      </c>
    </row>
    <row r="18" spans="1:9" ht="14.25" thickBot="1" x14ac:dyDescent="0.45">
      <c r="A18" s="3">
        <v>200</v>
      </c>
      <c r="B18" s="9">
        <v>53.7</v>
      </c>
      <c r="C18" s="9">
        <v>-53.7</v>
      </c>
      <c r="D18" s="9">
        <v>55.2</v>
      </c>
      <c r="E18" s="9">
        <v>-55.2</v>
      </c>
      <c r="F18" s="9">
        <v>54.5</v>
      </c>
    </row>
    <row r="19" spans="1:9" ht="14.25" thickBot="1" x14ac:dyDescent="0.45">
      <c r="A19" s="3">
        <v>250</v>
      </c>
      <c r="B19" s="9">
        <v>67.400000000000006</v>
      </c>
      <c r="C19" s="9">
        <v>-67.3</v>
      </c>
      <c r="D19" s="9">
        <v>68.900000000000006</v>
      </c>
      <c r="E19" s="9">
        <v>-68.900000000000006</v>
      </c>
      <c r="F19" s="9">
        <v>68.099999999999994</v>
      </c>
    </row>
    <row r="20" spans="1:9" ht="14.25" thickBot="1" x14ac:dyDescent="0.45">
      <c r="A20" s="3">
        <v>300</v>
      </c>
      <c r="B20" s="9">
        <v>81.099999999999994</v>
      </c>
      <c r="C20" s="9">
        <v>-81.099999999999994</v>
      </c>
      <c r="D20" s="9">
        <v>82.6</v>
      </c>
      <c r="E20" s="9">
        <v>-82.6</v>
      </c>
      <c r="F20" s="9">
        <v>81.900000000000006</v>
      </c>
    </row>
    <row r="21" spans="1:9" ht="14.25" thickBot="1" x14ac:dyDescent="0.45"/>
    <row r="22" spans="1:9" ht="16.5" thickBot="1" x14ac:dyDescent="0.45">
      <c r="A22" s="4" t="s">
        <v>10</v>
      </c>
      <c r="B22" s="1" t="s">
        <v>12</v>
      </c>
      <c r="C22" s="1" t="s">
        <v>13</v>
      </c>
      <c r="D22" s="1" t="s">
        <v>14</v>
      </c>
      <c r="E22" s="1" t="s">
        <v>15</v>
      </c>
      <c r="F22" s="4" t="s">
        <v>17</v>
      </c>
    </row>
    <row r="23" spans="1:9" ht="16.5" thickBot="1" x14ac:dyDescent="0.45">
      <c r="A23" s="5"/>
      <c r="B23" s="2" t="s">
        <v>5</v>
      </c>
      <c r="C23" s="11" t="s">
        <v>16</v>
      </c>
      <c r="D23" s="2" t="s">
        <v>7</v>
      </c>
      <c r="E23" s="2" t="s">
        <v>8</v>
      </c>
      <c r="F23" s="5"/>
    </row>
    <row r="24" spans="1:9" ht="14.25" thickBot="1" x14ac:dyDescent="0.45">
      <c r="A24" s="3">
        <v>0</v>
      </c>
      <c r="B24" s="9">
        <v>0</v>
      </c>
      <c r="C24" s="9">
        <v>0</v>
      </c>
      <c r="D24" s="9">
        <v>0</v>
      </c>
      <c r="E24" s="9">
        <v>0</v>
      </c>
      <c r="F24" s="9">
        <v>0</v>
      </c>
    </row>
    <row r="25" spans="1:9" ht="14.25" thickBot="1" x14ac:dyDescent="0.45">
      <c r="A25" s="3">
        <v>50</v>
      </c>
      <c r="B25" s="9">
        <v>38.1</v>
      </c>
      <c r="C25" s="9">
        <v>38.1</v>
      </c>
      <c r="D25" s="9">
        <v>-39</v>
      </c>
      <c r="E25" s="9">
        <v>-39</v>
      </c>
      <c r="F25" s="9">
        <v>38.6</v>
      </c>
    </row>
    <row r="26" spans="1:9" ht="14.25" thickBot="1" x14ac:dyDescent="0.45">
      <c r="A26" s="3">
        <v>100</v>
      </c>
      <c r="B26" s="9">
        <v>75.099999999999994</v>
      </c>
      <c r="C26" s="9">
        <v>75.099999999999994</v>
      </c>
      <c r="D26" s="9">
        <v>-76.5</v>
      </c>
      <c r="E26" s="9">
        <v>-76.5</v>
      </c>
      <c r="F26" s="9">
        <v>75.8</v>
      </c>
    </row>
    <row r="27" spans="1:9" ht="14.25" thickBot="1" x14ac:dyDescent="0.45">
      <c r="A27" s="3">
        <v>150</v>
      </c>
      <c r="B27" s="9">
        <v>112.4</v>
      </c>
      <c r="C27" s="9">
        <v>112.4</v>
      </c>
      <c r="D27" s="9">
        <v>-113.7</v>
      </c>
      <c r="E27" s="9">
        <v>-113.7</v>
      </c>
      <c r="F27" s="9">
        <v>113</v>
      </c>
    </row>
    <row r="28" spans="1:9" ht="14.25" thickBot="1" x14ac:dyDescent="0.45">
      <c r="A28" s="3">
        <v>200</v>
      </c>
      <c r="B28" s="9">
        <v>149.69999999999999</v>
      </c>
      <c r="C28" s="9">
        <v>149.69999999999999</v>
      </c>
      <c r="D28" s="9">
        <v>-151.1</v>
      </c>
      <c r="E28" s="9">
        <v>-151.1</v>
      </c>
      <c r="F28" s="9">
        <v>150.4</v>
      </c>
    </row>
    <row r="29" spans="1:9" ht="14.25" thickBot="1" x14ac:dyDescent="0.45">
      <c r="A29" s="3">
        <v>250</v>
      </c>
      <c r="B29" s="9">
        <v>187.3</v>
      </c>
      <c r="C29" s="9">
        <v>187.3</v>
      </c>
      <c r="D29" s="9">
        <v>-188.7</v>
      </c>
      <c r="E29" s="9">
        <v>-188.7</v>
      </c>
      <c r="F29" s="9">
        <v>188</v>
      </c>
    </row>
    <row r="30" spans="1:9" ht="14.25" thickBot="1" x14ac:dyDescent="0.45">
      <c r="A30" s="3">
        <v>300</v>
      </c>
      <c r="B30" s="9">
        <v>225.1</v>
      </c>
      <c r="C30" s="9">
        <v>225.1</v>
      </c>
      <c r="D30" s="9">
        <v>-226.5</v>
      </c>
      <c r="E30" s="9">
        <v>-226.5</v>
      </c>
      <c r="F30" s="9">
        <v>225.8</v>
      </c>
    </row>
    <row r="31" spans="1:9" ht="14.25" thickBot="1" x14ac:dyDescent="0.45"/>
    <row r="32" spans="1:9" ht="14.25" thickBot="1" x14ac:dyDescent="0.45">
      <c r="A32" s="12" t="s">
        <v>18</v>
      </c>
      <c r="B32" s="13">
        <v>44</v>
      </c>
      <c r="C32" s="13">
        <v>42</v>
      </c>
      <c r="D32" s="13">
        <v>40</v>
      </c>
      <c r="E32" s="13">
        <v>38</v>
      </c>
      <c r="F32" s="13">
        <v>36</v>
      </c>
      <c r="G32" s="13">
        <v>34</v>
      </c>
      <c r="H32" s="13">
        <v>32</v>
      </c>
      <c r="I32" s="13">
        <v>30</v>
      </c>
    </row>
    <row r="33" spans="1:9" ht="14.25" thickBot="1" x14ac:dyDescent="0.45">
      <c r="A33" s="14" t="s">
        <v>19</v>
      </c>
      <c r="B33" s="15">
        <v>-68.2</v>
      </c>
      <c r="C33" s="15">
        <v>-135.19999999999999</v>
      </c>
      <c r="D33" s="15">
        <v>-150.1</v>
      </c>
      <c r="E33" s="15">
        <v>-150.5</v>
      </c>
      <c r="F33" s="15">
        <v>-150.6</v>
      </c>
      <c r="G33" s="15">
        <v>-150.6</v>
      </c>
      <c r="H33" s="15">
        <v>-150.5</v>
      </c>
      <c r="I33" s="15">
        <v>-150.4</v>
      </c>
    </row>
    <row r="34" spans="1:9" ht="14.25" thickBot="1" x14ac:dyDescent="0.45">
      <c r="A34" s="14" t="s">
        <v>18</v>
      </c>
      <c r="B34" s="15">
        <v>28</v>
      </c>
      <c r="C34" s="15">
        <v>26</v>
      </c>
      <c r="D34" s="15">
        <v>24</v>
      </c>
      <c r="E34" s="15">
        <v>22</v>
      </c>
      <c r="F34" s="15">
        <v>20</v>
      </c>
      <c r="G34" s="15">
        <v>18</v>
      </c>
      <c r="H34" s="15">
        <v>16</v>
      </c>
      <c r="I34" s="15">
        <v>14</v>
      </c>
    </row>
    <row r="35" spans="1:9" ht="14.25" thickBot="1" x14ac:dyDescent="0.45">
      <c r="A35" s="14" t="s">
        <v>19</v>
      </c>
      <c r="B35" s="16">
        <v>-150.4</v>
      </c>
      <c r="C35" s="16">
        <v>-150.5</v>
      </c>
      <c r="D35" s="16">
        <v>-150.5</v>
      </c>
      <c r="E35" s="16">
        <v>-150.4</v>
      </c>
      <c r="F35" s="16">
        <v>-150.4</v>
      </c>
      <c r="G35" s="16">
        <v>-150.30000000000001</v>
      </c>
      <c r="H35" s="16">
        <v>-150.30000000000001</v>
      </c>
      <c r="I35" s="16">
        <v>-150.4</v>
      </c>
    </row>
    <row r="37" spans="1:9" x14ac:dyDescent="0.4">
      <c r="A37" s="19" t="s">
        <v>20</v>
      </c>
      <c r="B37" s="19">
        <v>50</v>
      </c>
      <c r="C37" s="19">
        <v>75</v>
      </c>
      <c r="D37" s="19">
        <v>100</v>
      </c>
      <c r="E37" s="19">
        <v>125</v>
      </c>
      <c r="F37" s="19">
        <v>150</v>
      </c>
      <c r="G37" s="19">
        <v>175</v>
      </c>
      <c r="H37" s="19">
        <v>200</v>
      </c>
    </row>
    <row r="38" spans="1:9" x14ac:dyDescent="0.4">
      <c r="A38" s="19" t="s">
        <v>21</v>
      </c>
      <c r="B38" s="18">
        <v>38</v>
      </c>
      <c r="C38" s="18">
        <v>57.1</v>
      </c>
      <c r="D38" s="18">
        <v>75.400000000000006</v>
      </c>
      <c r="E38" s="18">
        <v>94.4</v>
      </c>
      <c r="F38" s="18">
        <v>113.3</v>
      </c>
      <c r="G38" s="18">
        <v>131.6</v>
      </c>
      <c r="H38" s="18">
        <v>150.5</v>
      </c>
    </row>
    <row r="39" spans="1:9" x14ac:dyDescent="0.4">
      <c r="A39" s="19" t="s">
        <v>22</v>
      </c>
      <c r="B39" s="20">
        <v>13.8</v>
      </c>
      <c r="C39" s="20">
        <v>20.68</v>
      </c>
      <c r="D39" s="20">
        <v>27.56</v>
      </c>
      <c r="E39" s="20">
        <v>34.35</v>
      </c>
      <c r="F39" s="20">
        <v>41.08</v>
      </c>
      <c r="G39" s="20">
        <v>47.92</v>
      </c>
      <c r="H39" s="20">
        <v>54.72</v>
      </c>
    </row>
  </sheetData>
  <mergeCells count="6">
    <mergeCell ref="A1:A2"/>
    <mergeCell ref="F1:F2"/>
    <mergeCell ref="A12:A13"/>
    <mergeCell ref="F12:F13"/>
    <mergeCell ref="A22:A23"/>
    <mergeCell ref="F22:F23"/>
  </mergeCells>
  <phoneticPr fontId="3" type="noConversion"/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7193946-EE2F-491C-9463-D542034AD706}">
  <dimension ref="A1:L30"/>
  <sheetViews>
    <sheetView workbookViewId="0">
      <selection activeCell="I20" sqref="I20"/>
    </sheetView>
  </sheetViews>
  <sheetFormatPr defaultRowHeight="13.9" x14ac:dyDescent="0.4"/>
  <cols>
    <col min="2" max="11" width="12.86328125" bestFit="1" customWidth="1"/>
    <col min="12" max="12" width="11.86328125" bestFit="1" customWidth="1"/>
  </cols>
  <sheetData>
    <row r="1" spans="1:12" x14ac:dyDescent="0.4">
      <c r="A1" s="22" t="s">
        <v>23</v>
      </c>
      <c r="B1" s="22">
        <v>-25</v>
      </c>
      <c r="C1" s="22">
        <v>-20</v>
      </c>
      <c r="D1" s="22">
        <v>-15</v>
      </c>
      <c r="E1" s="22">
        <v>-10</v>
      </c>
      <c r="F1" s="22">
        <v>-5</v>
      </c>
      <c r="G1" s="22">
        <v>0</v>
      </c>
      <c r="H1" s="22">
        <v>5</v>
      </c>
      <c r="I1" s="22">
        <v>10</v>
      </c>
      <c r="J1" s="22">
        <v>15</v>
      </c>
      <c r="K1" s="22">
        <v>20</v>
      </c>
      <c r="L1" s="22">
        <v>25</v>
      </c>
    </row>
    <row r="2" spans="1:12" x14ac:dyDescent="0.4">
      <c r="A2" s="22" t="s">
        <v>24</v>
      </c>
      <c r="B2" s="22">
        <v>5.72</v>
      </c>
      <c r="C2" s="22">
        <v>5.87</v>
      </c>
      <c r="D2" s="22">
        <v>5.99</v>
      </c>
      <c r="E2" s="22">
        <v>6.08</v>
      </c>
      <c r="F2" s="22">
        <v>6.12</v>
      </c>
      <c r="G2" s="22">
        <v>6.13</v>
      </c>
      <c r="H2" s="22">
        <v>6.09</v>
      </c>
      <c r="I2" s="22">
        <v>6.01</v>
      </c>
      <c r="J2" s="22">
        <v>5.88</v>
      </c>
      <c r="K2" s="22">
        <v>5.74</v>
      </c>
      <c r="L2" s="22">
        <v>5.57</v>
      </c>
    </row>
    <row r="3" spans="1:12" x14ac:dyDescent="0.4">
      <c r="A3" s="22" t="s">
        <v>21</v>
      </c>
      <c r="B3" s="17">
        <f t="shared" ref="B3:L3" si="0">2.926/120*B2</f>
        <v>0.13947266666666666</v>
      </c>
      <c r="C3" s="17">
        <f t="shared" si="0"/>
        <v>0.14313016666666667</v>
      </c>
      <c r="D3" s="17">
        <f t="shared" si="0"/>
        <v>0.14605616666666668</v>
      </c>
      <c r="E3" s="17">
        <f t="shared" si="0"/>
        <v>0.14825066666666667</v>
      </c>
      <c r="F3" s="17">
        <f t="shared" si="0"/>
        <v>0.149226</v>
      </c>
      <c r="G3" s="17">
        <f t="shared" si="0"/>
        <v>0.14946983333333333</v>
      </c>
      <c r="H3" s="17">
        <f t="shared" si="0"/>
        <v>0.1484945</v>
      </c>
      <c r="I3" s="17">
        <f t="shared" si="0"/>
        <v>0.14654383333333332</v>
      </c>
      <c r="J3" s="17">
        <f t="shared" si="0"/>
        <v>0.143374</v>
      </c>
      <c r="K3" s="17">
        <f t="shared" si="0"/>
        <v>0.13996033333333333</v>
      </c>
      <c r="L3" s="17">
        <f t="shared" si="0"/>
        <v>0.13581516666666668</v>
      </c>
    </row>
    <row r="4" spans="1:12" x14ac:dyDescent="0.4">
      <c r="A4" s="22" t="s">
        <v>21</v>
      </c>
      <c r="B4" s="24">
        <v>0.13046414681354401</v>
      </c>
      <c r="C4" s="24">
        <v>0.13465215953444701</v>
      </c>
      <c r="D4" s="24">
        <v>0.13814826864451801</v>
      </c>
      <c r="E4" s="24">
        <v>0.14084721747656601</v>
      </c>
      <c r="F4" s="24">
        <v>0.142663518008915</v>
      </c>
      <c r="G4" s="24">
        <v>0.14353754136062499</v>
      </c>
      <c r="H4" s="24">
        <v>0.14343998747311201</v>
      </c>
      <c r="I4" s="24">
        <v>0.14237414625320299</v>
      </c>
      <c r="J4" s="24">
        <v>0.140375641582312</v>
      </c>
      <c r="K4" s="24">
        <v>0.13750969349426101</v>
      </c>
      <c r="L4" s="24">
        <v>0.13386627022009101</v>
      </c>
    </row>
    <row r="6" spans="1:12" x14ac:dyDescent="0.4">
      <c r="A6" s="22" t="s">
        <v>23</v>
      </c>
      <c r="B6" s="22">
        <v>-25</v>
      </c>
      <c r="C6" s="22">
        <v>-20</v>
      </c>
      <c r="D6" s="22">
        <v>-15</v>
      </c>
      <c r="E6" s="22">
        <v>-10</v>
      </c>
      <c r="F6" s="22">
        <v>-5</v>
      </c>
      <c r="G6" s="22">
        <v>0</v>
      </c>
      <c r="H6" s="22">
        <v>5</v>
      </c>
      <c r="I6" s="22">
        <v>10</v>
      </c>
      <c r="J6" s="22">
        <v>15</v>
      </c>
      <c r="K6" s="22">
        <v>20</v>
      </c>
      <c r="L6" s="22">
        <v>25</v>
      </c>
    </row>
    <row r="7" spans="1:12" x14ac:dyDescent="0.4">
      <c r="A7" s="22" t="s">
        <v>24</v>
      </c>
      <c r="B7" s="22">
        <v>8.74</v>
      </c>
      <c r="C7" s="22">
        <v>8.74</v>
      </c>
      <c r="D7" s="22">
        <v>8.75</v>
      </c>
      <c r="E7" s="22">
        <v>8.75</v>
      </c>
      <c r="F7" s="22">
        <v>8.75</v>
      </c>
      <c r="G7" s="22">
        <v>8.75</v>
      </c>
      <c r="H7" s="22">
        <v>8.75</v>
      </c>
      <c r="I7" s="22">
        <v>8.76</v>
      </c>
      <c r="J7" s="22">
        <v>8.76</v>
      </c>
      <c r="K7" s="22">
        <v>8.75</v>
      </c>
      <c r="L7" s="22">
        <v>8.74</v>
      </c>
    </row>
    <row r="8" spans="1:12" x14ac:dyDescent="0.4">
      <c r="A8" s="22" t="s">
        <v>21</v>
      </c>
      <c r="B8" s="24">
        <v>0.21311033333333335</v>
      </c>
      <c r="C8" s="24">
        <v>0.21311033333333335</v>
      </c>
      <c r="D8" s="24">
        <v>0.21335416666666668</v>
      </c>
      <c r="E8" s="24">
        <v>0.21335416666666668</v>
      </c>
      <c r="F8" s="24">
        <v>0.21335416666666668</v>
      </c>
      <c r="G8" s="24">
        <v>0.21335416666666668</v>
      </c>
      <c r="H8" s="24">
        <v>0.21335416666666668</v>
      </c>
      <c r="I8" s="24">
        <v>0.21359799999999998</v>
      </c>
      <c r="J8" s="24">
        <v>0.21359799999999998</v>
      </c>
      <c r="K8" s="24">
        <v>0.21335416666666668</v>
      </c>
      <c r="L8" s="24">
        <v>0.21311033333333335</v>
      </c>
    </row>
    <row r="10" spans="1:12" x14ac:dyDescent="0.4">
      <c r="A10" s="22" t="s">
        <v>23</v>
      </c>
      <c r="B10" s="22">
        <v>-25</v>
      </c>
      <c r="C10" s="22">
        <v>-20</v>
      </c>
      <c r="D10" s="22">
        <v>-15</v>
      </c>
      <c r="E10" s="22">
        <v>-10</v>
      </c>
      <c r="F10" s="22">
        <v>-5</v>
      </c>
      <c r="G10" s="22">
        <v>0</v>
      </c>
      <c r="H10" s="22">
        <v>5</v>
      </c>
      <c r="I10" s="22">
        <v>10</v>
      </c>
      <c r="J10" s="22">
        <v>15</v>
      </c>
      <c r="K10" s="22">
        <v>20</v>
      </c>
      <c r="L10" s="22">
        <v>25</v>
      </c>
    </row>
    <row r="11" spans="1:12" x14ac:dyDescent="0.4">
      <c r="A11" s="22" t="s">
        <v>24</v>
      </c>
      <c r="B11" s="23">
        <v>8.69</v>
      </c>
      <c r="C11" s="23">
        <v>8.6999999999999993</v>
      </c>
      <c r="D11" s="23">
        <v>8.7100000000000009</v>
      </c>
      <c r="E11" s="23">
        <v>8.7100000000000009</v>
      </c>
      <c r="F11" s="23">
        <v>8.7100000000000009</v>
      </c>
      <c r="G11" s="23">
        <v>8.7100000000000009</v>
      </c>
      <c r="H11" s="23">
        <v>8.6999999999999993</v>
      </c>
      <c r="I11" s="23">
        <v>8.6999999999999993</v>
      </c>
      <c r="J11" s="23">
        <v>8.6999999999999993</v>
      </c>
      <c r="K11" s="23">
        <v>8.69</v>
      </c>
      <c r="L11" s="23">
        <v>8.67</v>
      </c>
    </row>
    <row r="12" spans="1:12" x14ac:dyDescent="0.4">
      <c r="A12" s="22" t="s">
        <v>21</v>
      </c>
      <c r="B12" s="24">
        <v>0.21189116666666666</v>
      </c>
      <c r="C12" s="24">
        <v>0.21213499999999999</v>
      </c>
      <c r="D12" s="24">
        <v>0.21237883333333335</v>
      </c>
      <c r="E12" s="24">
        <v>0.21237883333333335</v>
      </c>
      <c r="F12" s="24">
        <v>0.21237883333333335</v>
      </c>
      <c r="G12" s="24">
        <v>0.21237883333333335</v>
      </c>
      <c r="H12" s="24">
        <v>0.21213499999999999</v>
      </c>
      <c r="I12" s="24">
        <v>0.21213499999999999</v>
      </c>
      <c r="J12" s="24">
        <v>0.21213499999999999</v>
      </c>
      <c r="K12" s="24">
        <v>0.21189116666666666</v>
      </c>
      <c r="L12" s="24">
        <v>0.21140349999999999</v>
      </c>
    </row>
    <row r="14" spans="1:12" x14ac:dyDescent="0.4">
      <c r="A14" s="22" t="s">
        <v>25</v>
      </c>
      <c r="B14" s="22">
        <v>0</v>
      </c>
      <c r="C14" s="22">
        <v>10</v>
      </c>
      <c r="D14" s="22">
        <v>20</v>
      </c>
      <c r="E14" s="22">
        <v>30</v>
      </c>
      <c r="F14" s="22">
        <v>40</v>
      </c>
      <c r="G14" s="22">
        <v>50</v>
      </c>
      <c r="H14" s="22">
        <v>60</v>
      </c>
      <c r="I14" s="22">
        <v>70</v>
      </c>
      <c r="J14" s="22">
        <v>80</v>
      </c>
      <c r="K14" s="22">
        <v>90</v>
      </c>
      <c r="L14" s="21"/>
    </row>
    <row r="15" spans="1:12" x14ac:dyDescent="0.4">
      <c r="A15" s="22" t="s">
        <v>24</v>
      </c>
      <c r="B15" s="23">
        <v>8.7100000000000009</v>
      </c>
      <c r="C15" s="23">
        <v>8.56</v>
      </c>
      <c r="D15" s="23">
        <v>8.18</v>
      </c>
      <c r="E15" s="23">
        <v>7.58</v>
      </c>
      <c r="F15" s="23">
        <v>6.7</v>
      </c>
      <c r="G15" s="23">
        <v>5.52</v>
      </c>
      <c r="H15" s="23">
        <v>4.1500000000000004</v>
      </c>
      <c r="I15" s="23">
        <v>2.75</v>
      </c>
      <c r="J15" s="23">
        <v>1.37</v>
      </c>
      <c r="K15" s="23">
        <v>0</v>
      </c>
      <c r="L15" s="21"/>
    </row>
    <row r="16" spans="1:12" x14ac:dyDescent="0.4">
      <c r="A16" s="22" t="s">
        <v>26</v>
      </c>
      <c r="B16" s="25">
        <f>8.71 * COS(RADIANS(B14))</f>
        <v>8.7100000000000009</v>
      </c>
      <c r="C16" s="25">
        <f t="shared" ref="C16:K16" si="1">8.71 * COS(RADIANS(C14))</f>
        <v>8.5776755287363322</v>
      </c>
      <c r="D16" s="25">
        <f t="shared" si="1"/>
        <v>8.1847227270452638</v>
      </c>
      <c r="E16" s="25">
        <f t="shared" si="1"/>
        <v>7.5430812669624618</v>
      </c>
      <c r="F16" s="25">
        <f t="shared" si="1"/>
        <v>6.6722470995662988</v>
      </c>
      <c r="G16" s="25">
        <f t="shared" si="1"/>
        <v>5.5986800803697587</v>
      </c>
      <c r="H16" s="25">
        <f t="shared" si="1"/>
        <v>4.3550000000000013</v>
      </c>
      <c r="I16" s="25">
        <f t="shared" si="1"/>
        <v>2.9789954483665757</v>
      </c>
      <c r="J16" s="25">
        <f t="shared" si="1"/>
        <v>1.5124756274789641</v>
      </c>
      <c r="K16" s="25">
        <f t="shared" si="1"/>
        <v>5.3355215211270407E-16</v>
      </c>
      <c r="L16" s="21"/>
    </row>
    <row r="17" spans="1:12" x14ac:dyDescent="0.4">
      <c r="A17" s="22" t="s">
        <v>25</v>
      </c>
      <c r="B17" s="22">
        <v>100</v>
      </c>
      <c r="C17" s="22">
        <v>110</v>
      </c>
      <c r="D17" s="22">
        <v>120</v>
      </c>
      <c r="E17" s="22">
        <v>130</v>
      </c>
      <c r="F17" s="22">
        <v>140</v>
      </c>
      <c r="G17" s="22">
        <v>150</v>
      </c>
      <c r="H17" s="22">
        <v>160</v>
      </c>
      <c r="I17" s="22">
        <v>170</v>
      </c>
      <c r="J17" s="22">
        <v>180</v>
      </c>
      <c r="K17" s="22">
        <v>190</v>
      </c>
      <c r="L17" s="21"/>
    </row>
    <row r="18" spans="1:12" x14ac:dyDescent="0.4">
      <c r="A18" s="22" t="s">
        <v>24</v>
      </c>
      <c r="B18" s="23">
        <v>1.63</v>
      </c>
      <c r="C18" s="23">
        <v>3.05</v>
      </c>
      <c r="D18" s="23">
        <v>4.3</v>
      </c>
      <c r="E18" s="23">
        <v>5.65</v>
      </c>
      <c r="F18" s="23">
        <v>6.66</v>
      </c>
      <c r="G18" s="23">
        <v>7.54</v>
      </c>
      <c r="H18" s="23">
        <v>8.14</v>
      </c>
      <c r="I18" s="23">
        <v>8.5299999999999994</v>
      </c>
      <c r="J18" s="23">
        <v>8.66</v>
      </c>
      <c r="K18" s="23">
        <v>8.5500000000000007</v>
      </c>
      <c r="L18" s="21"/>
    </row>
    <row r="19" spans="1:12" x14ac:dyDescent="0.4">
      <c r="A19" s="22" t="s">
        <v>26</v>
      </c>
      <c r="B19" s="25">
        <f>ABS(8.71*COS(RADIANS(B17)))</f>
        <v>1.512475627478963</v>
      </c>
      <c r="C19" s="25">
        <f t="shared" ref="C19:K19" si="2">ABS(8.71*COS(RADIANS(C17)))</f>
        <v>2.9789954483665748</v>
      </c>
      <c r="D19" s="25">
        <f t="shared" si="2"/>
        <v>4.3549999999999986</v>
      </c>
      <c r="E19" s="25">
        <f t="shared" si="2"/>
        <v>5.5986800803697587</v>
      </c>
      <c r="F19" s="25">
        <f t="shared" si="2"/>
        <v>6.6722470995662979</v>
      </c>
      <c r="G19" s="25">
        <f t="shared" si="2"/>
        <v>7.5430812669624618</v>
      </c>
      <c r="H19" s="25">
        <f t="shared" si="2"/>
        <v>8.184722727045262</v>
      </c>
      <c r="I19" s="25">
        <f t="shared" si="2"/>
        <v>8.5776755287363322</v>
      </c>
      <c r="J19" s="25">
        <f t="shared" si="2"/>
        <v>8.7100000000000009</v>
      </c>
      <c r="K19" s="25">
        <f t="shared" si="2"/>
        <v>8.5776755287363322</v>
      </c>
      <c r="L19" s="21"/>
    </row>
    <row r="20" spans="1:12" x14ac:dyDescent="0.4">
      <c r="A20" s="22" t="s">
        <v>25</v>
      </c>
      <c r="B20" s="22">
        <v>200</v>
      </c>
      <c r="C20" s="22">
        <v>210</v>
      </c>
      <c r="D20" s="22">
        <v>220</v>
      </c>
      <c r="E20" s="22">
        <v>230</v>
      </c>
      <c r="F20" s="22">
        <v>240</v>
      </c>
      <c r="G20" s="22">
        <v>250</v>
      </c>
      <c r="H20" s="22">
        <v>260</v>
      </c>
      <c r="I20" s="22">
        <v>270</v>
      </c>
      <c r="J20" s="22">
        <v>280</v>
      </c>
      <c r="K20" s="22">
        <v>290</v>
      </c>
      <c r="L20" s="21"/>
    </row>
    <row r="21" spans="1:12" x14ac:dyDescent="0.4">
      <c r="A21" s="22" t="s">
        <v>24</v>
      </c>
      <c r="B21" s="23">
        <v>8.17</v>
      </c>
      <c r="C21" s="23">
        <v>7.59</v>
      </c>
      <c r="D21" s="23">
        <v>6.82</v>
      </c>
      <c r="E21" s="23">
        <v>5.76</v>
      </c>
      <c r="F21" s="23">
        <v>4.17</v>
      </c>
      <c r="G21" s="23">
        <v>2.76</v>
      </c>
      <c r="H21" s="23">
        <v>1.27</v>
      </c>
      <c r="I21" s="23">
        <v>0</v>
      </c>
      <c r="J21" s="23">
        <v>1.76</v>
      </c>
      <c r="K21" s="23">
        <v>3.17</v>
      </c>
      <c r="L21" s="21"/>
    </row>
    <row r="22" spans="1:12" x14ac:dyDescent="0.4">
      <c r="A22" s="22" t="s">
        <v>26</v>
      </c>
      <c r="B22" s="25">
        <f>ABS(8.71*COS(RADIANS(B20)))</f>
        <v>8.1847227270452638</v>
      </c>
      <c r="C22" s="25">
        <f t="shared" ref="C22:K22" si="3">ABS(8.71*COS(RADIANS(C20)))</f>
        <v>7.543081266962461</v>
      </c>
      <c r="D22" s="25">
        <f t="shared" si="3"/>
        <v>6.6722470995662988</v>
      </c>
      <c r="E22" s="25">
        <f t="shared" si="3"/>
        <v>5.5986800803697596</v>
      </c>
      <c r="F22" s="25">
        <f t="shared" si="3"/>
        <v>4.355000000000004</v>
      </c>
      <c r="G22" s="25">
        <f t="shared" si="3"/>
        <v>2.9789954483665735</v>
      </c>
      <c r="H22" s="25">
        <f t="shared" si="3"/>
        <v>1.5124756274789632</v>
      </c>
      <c r="I22" s="25">
        <f t="shared" si="3"/>
        <v>1.6006564563381121E-15</v>
      </c>
      <c r="J22" s="25">
        <f t="shared" si="3"/>
        <v>1.5124756274789601</v>
      </c>
      <c r="K22" s="25">
        <f t="shared" si="3"/>
        <v>2.978995448366577</v>
      </c>
      <c r="L22" s="21"/>
    </row>
    <row r="23" spans="1:12" x14ac:dyDescent="0.4">
      <c r="A23" s="22" t="s">
        <v>25</v>
      </c>
      <c r="B23" s="22">
        <v>300</v>
      </c>
      <c r="C23" s="22">
        <v>310</v>
      </c>
      <c r="D23" s="22">
        <v>320</v>
      </c>
      <c r="E23" s="22">
        <v>330</v>
      </c>
      <c r="F23" s="22">
        <v>340</v>
      </c>
      <c r="G23" s="22">
        <v>350</v>
      </c>
      <c r="H23" s="22">
        <v>360</v>
      </c>
      <c r="I23" s="21"/>
      <c r="J23" s="21"/>
      <c r="K23" s="21"/>
      <c r="L23" s="21"/>
    </row>
    <row r="24" spans="1:12" x14ac:dyDescent="0.4">
      <c r="A24" s="22" t="s">
        <v>24</v>
      </c>
      <c r="B24" s="22">
        <v>4.5599999999999996</v>
      </c>
      <c r="C24" s="22">
        <v>5.72</v>
      </c>
      <c r="D24" s="22">
        <v>6.76</v>
      </c>
      <c r="E24" s="22">
        <v>7.59</v>
      </c>
      <c r="F24" s="22">
        <v>8.19</v>
      </c>
      <c r="G24" s="22">
        <v>8.59</v>
      </c>
      <c r="H24" s="22">
        <v>8.7100000000000009</v>
      </c>
      <c r="I24" s="21"/>
      <c r="J24" s="21"/>
      <c r="K24" s="21"/>
      <c r="L24" s="21"/>
    </row>
    <row r="25" spans="1:12" x14ac:dyDescent="0.4">
      <c r="A25" s="22" t="s">
        <v>26</v>
      </c>
      <c r="B25" s="25">
        <f xml:space="preserve"> ABS(8.71 * COS(RADIANS(B23)))</f>
        <v>4.3550000000000013</v>
      </c>
      <c r="C25" s="25">
        <f t="shared" ref="C25:H25" si="4" xml:space="preserve"> ABS(8.71 * COS(RADIANS(C23)))</f>
        <v>5.5986800803697578</v>
      </c>
      <c r="D25" s="25">
        <f t="shared" si="4"/>
        <v>6.672247099566297</v>
      </c>
      <c r="E25" s="25">
        <f t="shared" si="4"/>
        <v>7.5430812669624592</v>
      </c>
      <c r="F25" s="25">
        <f t="shared" si="4"/>
        <v>8.1847227270452638</v>
      </c>
      <c r="G25" s="25">
        <f t="shared" si="4"/>
        <v>8.5776755287363322</v>
      </c>
      <c r="H25" s="25">
        <f t="shared" si="4"/>
        <v>8.7100000000000009</v>
      </c>
      <c r="I25" s="21"/>
      <c r="J25" s="21"/>
      <c r="K25" s="21"/>
      <c r="L25" s="21"/>
    </row>
    <row r="28" spans="1:12" x14ac:dyDescent="0.4">
      <c r="A28" s="22" t="s">
        <v>27</v>
      </c>
      <c r="B28" s="22">
        <v>20</v>
      </c>
      <c r="C28" s="22">
        <v>30</v>
      </c>
      <c r="D28" s="22">
        <v>40</v>
      </c>
      <c r="E28" s="22">
        <v>50</v>
      </c>
      <c r="F28" s="22">
        <v>60</v>
      </c>
      <c r="G28" s="22">
        <v>70</v>
      </c>
      <c r="H28" s="22">
        <v>80</v>
      </c>
      <c r="I28" s="22">
        <v>90</v>
      </c>
      <c r="J28" s="22">
        <v>100</v>
      </c>
      <c r="K28" s="22">
        <v>110</v>
      </c>
      <c r="L28" s="22">
        <v>120</v>
      </c>
    </row>
    <row r="29" spans="1:12" x14ac:dyDescent="0.4">
      <c r="A29" s="22" t="s">
        <v>24</v>
      </c>
      <c r="B29" s="22">
        <v>1.45</v>
      </c>
      <c r="C29" s="22">
        <v>2.1800000000000002</v>
      </c>
      <c r="D29" s="22">
        <v>2.9</v>
      </c>
      <c r="E29" s="22">
        <v>3.63</v>
      </c>
      <c r="F29" s="22">
        <v>4.3499999999999996</v>
      </c>
      <c r="G29" s="22">
        <v>5.07</v>
      </c>
      <c r="H29" s="22">
        <v>5.8</v>
      </c>
      <c r="I29" s="22">
        <v>6.52</v>
      </c>
      <c r="J29" s="22">
        <v>7.25</v>
      </c>
      <c r="K29" s="22">
        <v>7.97</v>
      </c>
      <c r="L29" s="22">
        <v>8.7100000000000009</v>
      </c>
    </row>
    <row r="30" spans="1:12" x14ac:dyDescent="0.4">
      <c r="A30" s="22" t="s">
        <v>21</v>
      </c>
      <c r="B30" s="24">
        <f>2.926/B28*B29</f>
        <v>0.21213500000000002</v>
      </c>
      <c r="C30" s="24">
        <f t="shared" ref="C30:J30" si="5">2.926/C28*C29</f>
        <v>0.21262266666666668</v>
      </c>
      <c r="D30" s="24">
        <f t="shared" si="5"/>
        <v>0.21213500000000002</v>
      </c>
      <c r="E30" s="24">
        <f t="shared" si="5"/>
        <v>0.21242759999999999</v>
      </c>
      <c r="F30" s="24">
        <f t="shared" si="5"/>
        <v>0.21213499999999999</v>
      </c>
      <c r="G30" s="24">
        <f t="shared" si="5"/>
        <v>0.21192600000000003</v>
      </c>
      <c r="H30" s="24">
        <f t="shared" si="5"/>
        <v>0.21213500000000002</v>
      </c>
      <c r="I30" s="24">
        <f t="shared" si="5"/>
        <v>0.21197244444444446</v>
      </c>
      <c r="J30" s="24">
        <f t="shared" si="5"/>
        <v>0.21213500000000002</v>
      </c>
      <c r="K30" s="24">
        <f>2.926/K28*K29</f>
        <v>0.21200200000000002</v>
      </c>
      <c r="L30" s="24">
        <f t="shared" ref="L30" si="6">2.926/L28*L29</f>
        <v>0.21237883333333335</v>
      </c>
    </row>
  </sheetData>
  <phoneticPr fontId="3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2</vt:i4>
      </vt:variant>
      <vt:variant>
        <vt:lpstr>Named Ranges</vt:lpstr>
      </vt:variant>
      <vt:variant>
        <vt:i4>1</vt:i4>
      </vt:variant>
    </vt:vector>
  </HeadingPairs>
  <TitlesOfParts>
    <vt:vector size="3" baseType="lpstr">
      <vt:lpstr>Sheet1</vt:lpstr>
      <vt:lpstr>Sheet2</vt:lpstr>
      <vt:lpstr>Sheet1!_Hlk89469416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Diex Lin</dc:creator>
  <cp:lastModifiedBy>Diex Lin</cp:lastModifiedBy>
  <dcterms:created xsi:type="dcterms:W3CDTF">2015-06-05T18:17:20Z</dcterms:created>
  <dcterms:modified xsi:type="dcterms:W3CDTF">2024-11-07T11:21:20Z</dcterms:modified>
</cp:coreProperties>
</file>