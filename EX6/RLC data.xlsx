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diex/Documents/Codes/texdocs/BPE/EX6/"/>
    </mc:Choice>
  </mc:AlternateContent>
  <xr:revisionPtr revIDLastSave="0" documentId="13_ncr:1_{E7EA1BD0-662F-B744-9864-02869011C9C4}" xr6:coauthVersionLast="47" xr6:coauthVersionMax="47" xr10:uidLastSave="{00000000-0000-0000-0000-000000000000}"/>
  <bookViews>
    <workbookView xWindow="0" yWindow="500" windowWidth="3738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<sst xmlns="http://schemas.openxmlformats.org/spreadsheetml/2006/main" count="12" uniqueCount="8">
  <si>
    <t>f</t>
  </si>
  <si>
    <t>U</t>
  </si>
  <si>
    <t>t</t>
  </si>
  <si>
    <t>ch1-ch2</t>
  </si>
  <si>
    <t>ur</t>
  </si>
  <si>
    <t>imax</t>
  </si>
  <si>
    <t>u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</si>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</sst>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"/>
  </numFmts>
  <fonts count="3" x14ac:knownFonts="1">
    <font>
      <sz val="11"/>
      <color theme="1"/>
      <name val="Calibri"/>
      <charset val="134"/>
      <scheme val="minor"/>
    </font>
    <font>
      <sz val="10.5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Fill="1" applyBorder="1" applyAlignment="1">
      <alignment horizontal="justify" vertical="center" wrapText="1"/>
    </xf>
    <xf numFmtId="168" fontId="0" fillId="0" borderId="0" xfId="0" applyNumberFormat="1"/>
    <xf numFmtId="169" fontId="0" fillId="0" borderId="0" xfId="0" applyNumberFormat="1"/>
    <xf numFmtId="2" fontId="1" fillId="0" borderId="2" xfId="0" applyNumberFormat="1" applyFont="1" applyBorder="1" applyAlignment="1">
      <alignment horizontal="justify" vertical="center" wrapText="1"/>
    </xf>
    <xf numFmtId="2" fontId="1" fillId="0" borderId="4" xfId="0" applyNumberFormat="1" applyFont="1" applyBorder="1" applyAlignment="1">
      <alignment horizontal="justify" vertical="center" wrapText="1"/>
    </xf>
    <xf numFmtId="2" fontId="0" fillId="0" borderId="0" xfId="0" applyNumberFormat="1"/>
    <xf numFmtId="2" fontId="1" fillId="0" borderId="1" xfId="0" applyNumberFormat="1" applyFont="1" applyBorder="1" applyAlignment="1">
      <alignment horizontal="justify" vertical="center" wrapText="1"/>
    </xf>
    <xf numFmtId="2" fontId="1" fillId="0" borderId="3" xfId="0" applyNumberFormat="1" applyFont="1" applyBorder="1" applyAlignment="1">
      <alignment horizontal="justify" vertical="center" wrapText="1"/>
    </xf>
    <xf numFmtId="168" fontId="1" fillId="0" borderId="1" xfId="0" applyNumberFormat="1" applyFont="1" applyBorder="1" applyAlignment="1">
      <alignment horizontal="justify" vertical="center" wrapText="1"/>
    </xf>
    <xf numFmtId="168" fontId="1" fillId="0" borderId="3" xfId="0" applyNumberFormat="1" applyFont="1" applyBorder="1" applyAlignment="1">
      <alignment horizontal="justify" vertical="center" wrapText="1"/>
    </xf>
    <xf numFmtId="2" fontId="1" fillId="0" borderId="5" xfId="0" applyNumberFormat="1" applyFont="1" applyFill="1" applyBorder="1" applyAlignment="1">
      <alignment horizontal="justify" vertical="center" wrapText="1"/>
    </xf>
    <xf numFmtId="2" fontId="1" fillId="0" borderId="6" xfId="0" applyNumberFormat="1" applyFont="1" applyFill="1" applyBorder="1" applyAlignment="1">
      <alignment horizontal="justify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60" zoomScaleNormal="160" workbookViewId="0">
      <selection activeCell="N12" sqref="N12"/>
    </sheetView>
  </sheetViews>
  <sheetFormatPr baseColWidth="10" defaultColWidth="9" defaultRowHeight="15" x14ac:dyDescent="0.2"/>
  <sheetData>
    <row r="1" spans="1:5" ht="16" thickBot="1" x14ac:dyDescent="0.25">
      <c r="A1" s="15" t="s">
        <v>0</v>
      </c>
      <c r="B1" s="15" t="s">
        <v>1</v>
      </c>
      <c r="C1" s="15" t="s">
        <v>3</v>
      </c>
      <c r="D1" s="15" t="s">
        <v>4</v>
      </c>
      <c r="E1" s="15" t="s">
        <v>5</v>
      </c>
    </row>
    <row r="2" spans="1:5" ht="16" thickBot="1" x14ac:dyDescent="0.25">
      <c r="A2" s="9">
        <v>1.88</v>
      </c>
      <c r="B2">
        <v>2</v>
      </c>
      <c r="C2" s="6">
        <v>-86.78</v>
      </c>
      <c r="D2" s="1">
        <v>0.311</v>
      </c>
      <c r="E2" s="4">
        <f>D2/2/100*1000</f>
        <v>1.5549999999999999</v>
      </c>
    </row>
    <row r="3" spans="1:5" ht="16" thickBot="1" x14ac:dyDescent="0.25">
      <c r="A3" s="10">
        <v>2</v>
      </c>
      <c r="B3">
        <v>2</v>
      </c>
      <c r="C3" s="7">
        <v>-72.400000000000006</v>
      </c>
      <c r="D3" s="2">
        <v>0.436</v>
      </c>
      <c r="E3" s="4">
        <f t="shared" ref="E3:E16" si="0">D3/2/100*1000</f>
        <v>2.1800000000000002</v>
      </c>
    </row>
    <row r="4" spans="1:5" ht="16" thickBot="1" x14ac:dyDescent="0.25">
      <c r="A4" s="10">
        <v>2.08</v>
      </c>
      <c r="B4">
        <v>2</v>
      </c>
      <c r="C4" s="7">
        <v>-60.86</v>
      </c>
      <c r="D4" s="2">
        <v>0.57099999999999995</v>
      </c>
      <c r="E4" s="4">
        <f t="shared" si="0"/>
        <v>2.855</v>
      </c>
    </row>
    <row r="5" spans="1:5" ht="16" thickBot="1" x14ac:dyDescent="0.25">
      <c r="A5" s="10">
        <v>2.15</v>
      </c>
      <c r="B5">
        <v>2</v>
      </c>
      <c r="C5" s="7">
        <v>-41.57</v>
      </c>
      <c r="D5" s="2">
        <v>0.92600000000000005</v>
      </c>
      <c r="E5" s="4">
        <f t="shared" si="0"/>
        <v>4.6300000000000008</v>
      </c>
    </row>
    <row r="6" spans="1:5" ht="16" thickBot="1" x14ac:dyDescent="0.25">
      <c r="A6" s="10">
        <v>2.19</v>
      </c>
      <c r="B6">
        <v>2</v>
      </c>
      <c r="C6" s="7">
        <v>-28.73</v>
      </c>
      <c r="D6" s="2">
        <v>0.91500000000000004</v>
      </c>
      <c r="E6" s="4">
        <f t="shared" si="0"/>
        <v>4.5750000000000002</v>
      </c>
    </row>
    <row r="7" spans="1:5" ht="16" thickBot="1" x14ac:dyDescent="0.25">
      <c r="A7" s="10">
        <v>2.2200000000000002</v>
      </c>
      <c r="B7">
        <v>2</v>
      </c>
      <c r="C7" s="7">
        <v>-13.32</v>
      </c>
      <c r="D7" s="2">
        <v>0.95599999999999996</v>
      </c>
      <c r="E7" s="4">
        <f t="shared" si="0"/>
        <v>4.7799999999999994</v>
      </c>
    </row>
    <row r="8" spans="1:5" ht="16" thickBot="1" x14ac:dyDescent="0.25">
      <c r="A8" s="10">
        <v>2.2400000000000002</v>
      </c>
      <c r="B8">
        <v>2</v>
      </c>
      <c r="C8" s="7">
        <v>-3.72</v>
      </c>
      <c r="D8" s="2">
        <v>0.96099999999999997</v>
      </c>
      <c r="E8" s="4">
        <f t="shared" si="0"/>
        <v>4.8050000000000006</v>
      </c>
    </row>
    <row r="9" spans="1:5" ht="16" thickBot="1" x14ac:dyDescent="0.25">
      <c r="A9" s="10">
        <v>2.25</v>
      </c>
      <c r="B9">
        <v>2</v>
      </c>
      <c r="C9" s="7">
        <v>2.1</v>
      </c>
      <c r="D9" s="2">
        <v>0.96299999999999997</v>
      </c>
      <c r="E9" s="4">
        <f t="shared" si="0"/>
        <v>4.8149999999999995</v>
      </c>
    </row>
    <row r="10" spans="1:5" ht="16" thickBot="1" x14ac:dyDescent="0.25">
      <c r="A10" s="10">
        <v>2.2599999999999998</v>
      </c>
      <c r="B10">
        <v>2</v>
      </c>
      <c r="C10" s="7">
        <v>7</v>
      </c>
      <c r="D10" s="2">
        <v>0.95799999999999996</v>
      </c>
      <c r="E10" s="4">
        <f t="shared" si="0"/>
        <v>4.79</v>
      </c>
    </row>
    <row r="11" spans="1:5" ht="16" thickBot="1" x14ac:dyDescent="0.25">
      <c r="A11" s="10">
        <v>2.2749999999999999</v>
      </c>
      <c r="B11">
        <v>2</v>
      </c>
      <c r="C11" s="7">
        <v>16.350000000000001</v>
      </c>
      <c r="D11" s="2">
        <v>0.94899999999999995</v>
      </c>
      <c r="E11" s="4">
        <f t="shared" si="0"/>
        <v>4.7450000000000001</v>
      </c>
    </row>
    <row r="12" spans="1:5" ht="16" thickBot="1" x14ac:dyDescent="0.25">
      <c r="A12" s="10">
        <v>2.2999999999999998</v>
      </c>
      <c r="B12">
        <v>2</v>
      </c>
      <c r="C12" s="7">
        <v>27.43</v>
      </c>
      <c r="D12" s="2">
        <v>0.89200000000000002</v>
      </c>
      <c r="E12" s="4">
        <f t="shared" si="0"/>
        <v>4.4600000000000009</v>
      </c>
    </row>
    <row r="13" spans="1:5" x14ac:dyDescent="0.2">
      <c r="A13" s="13">
        <v>2.36</v>
      </c>
      <c r="B13">
        <v>2</v>
      </c>
      <c r="C13" s="14">
        <v>49.2</v>
      </c>
      <c r="D13" s="3">
        <v>0.74299999999999999</v>
      </c>
      <c r="E13" s="4">
        <f t="shared" si="0"/>
        <v>3.7149999999999999</v>
      </c>
    </row>
    <row r="14" spans="1:5" x14ac:dyDescent="0.2">
      <c r="A14" s="13">
        <v>2.4300000000000002</v>
      </c>
      <c r="B14">
        <v>2</v>
      </c>
      <c r="C14" s="14">
        <v>57.22</v>
      </c>
      <c r="D14" s="3">
        <v>0.56100000000000005</v>
      </c>
      <c r="E14" s="4">
        <f t="shared" si="0"/>
        <v>2.8050000000000002</v>
      </c>
    </row>
    <row r="15" spans="1:5" x14ac:dyDescent="0.2">
      <c r="A15" s="13">
        <v>2.62</v>
      </c>
      <c r="B15">
        <v>2</v>
      </c>
      <c r="C15" s="14">
        <v>65.47</v>
      </c>
      <c r="D15" s="3">
        <v>0.35699999999999998</v>
      </c>
      <c r="E15" s="4">
        <f t="shared" si="0"/>
        <v>1.7849999999999999</v>
      </c>
    </row>
    <row r="16" spans="1:5" x14ac:dyDescent="0.2">
      <c r="A16" s="13">
        <v>3.18</v>
      </c>
      <c r="B16">
        <v>2</v>
      </c>
      <c r="C16" s="14">
        <v>69.94</v>
      </c>
      <c r="D16" s="3">
        <v>0.187</v>
      </c>
      <c r="E16" s="4">
        <f t="shared" si="0"/>
        <v>0.93499999999999994</v>
      </c>
    </row>
    <row r="17" spans="1:7" ht="16" thickBot="1" x14ac:dyDescent="0.25">
      <c r="A17" s="15" t="s">
        <v>0</v>
      </c>
      <c r="B17" s="15" t="s">
        <v>6</v>
      </c>
      <c r="C17" s="15" t="s">
        <v>2</v>
      </c>
      <c r="D17" s="15" t="s">
        <v>7</v>
      </c>
      <c r="E17" s="15" t="s">
        <v>6</v>
      </c>
      <c r="F17" s="15" t="s">
        <v>4</v>
      </c>
      <c r="G17" s="15" t="s">
        <v>5</v>
      </c>
    </row>
    <row r="18" spans="1:7" ht="16" thickBot="1" x14ac:dyDescent="0.25">
      <c r="A18" s="11">
        <v>2.0499999999999998</v>
      </c>
      <c r="B18">
        <v>2</v>
      </c>
      <c r="C18" s="1">
        <v>-108</v>
      </c>
      <c r="D18" s="8">
        <f>A18 * C18 * 360 / 1000</f>
        <v>-79.703999999999979</v>
      </c>
      <c r="E18" s="6">
        <v>1.41</v>
      </c>
      <c r="F18" s="1">
        <v>761</v>
      </c>
      <c r="G18" s="5">
        <f>F18/2/5000</f>
        <v>7.6100000000000001E-2</v>
      </c>
    </row>
    <row r="19" spans="1:7" ht="16" thickBot="1" x14ac:dyDescent="0.25">
      <c r="A19" s="12">
        <v>2.15</v>
      </c>
      <c r="B19">
        <v>2</v>
      </c>
      <c r="C19" s="2">
        <v>-94</v>
      </c>
      <c r="D19" s="8">
        <f t="shared" ref="D19:D31" si="1">A19 * C19 * 360 / 1000</f>
        <v>-72.756</v>
      </c>
      <c r="E19" s="7">
        <v>1.61</v>
      </c>
      <c r="F19" s="2">
        <v>407</v>
      </c>
      <c r="G19" s="5">
        <f t="shared" ref="G19:G31" si="2">F19/2/5000</f>
        <v>4.07E-2</v>
      </c>
    </row>
    <row r="20" spans="1:7" ht="16" thickBot="1" x14ac:dyDescent="0.25">
      <c r="A20" s="12">
        <v>2.2200000000000002</v>
      </c>
      <c r="B20">
        <v>2</v>
      </c>
      <c r="C20" s="2">
        <v>-80</v>
      </c>
      <c r="D20" s="8">
        <f t="shared" si="1"/>
        <v>-63.936000000000007</v>
      </c>
      <c r="E20" s="7">
        <v>1.6</v>
      </c>
      <c r="F20" s="2">
        <v>239</v>
      </c>
      <c r="G20" s="5">
        <f t="shared" si="2"/>
        <v>2.3900000000000001E-2</v>
      </c>
    </row>
    <row r="21" spans="1:7" ht="16" thickBot="1" x14ac:dyDescent="0.25">
      <c r="A21" s="12">
        <v>2.2309999999999999</v>
      </c>
      <c r="B21">
        <v>2</v>
      </c>
      <c r="C21" s="2">
        <v>-42</v>
      </c>
      <c r="D21" s="8">
        <f t="shared" si="1"/>
        <v>-33.73272</v>
      </c>
      <c r="E21" s="7">
        <v>1.62</v>
      </c>
      <c r="F21" s="2">
        <v>149</v>
      </c>
      <c r="G21" s="5">
        <f t="shared" si="2"/>
        <v>1.49E-2</v>
      </c>
    </row>
    <row r="22" spans="1:7" ht="16" thickBot="1" x14ac:dyDescent="0.25">
      <c r="A22" s="12">
        <v>2.2400000000000002</v>
      </c>
      <c r="B22">
        <v>2</v>
      </c>
      <c r="C22" s="2">
        <v>-24</v>
      </c>
      <c r="D22" s="8">
        <f t="shared" si="1"/>
        <v>-19.353600000000004</v>
      </c>
      <c r="E22" s="7">
        <v>1.63</v>
      </c>
      <c r="F22" s="2">
        <v>128</v>
      </c>
      <c r="G22" s="5">
        <f t="shared" si="2"/>
        <v>1.2800000000000001E-2</v>
      </c>
    </row>
    <row r="23" spans="1:7" ht="16" thickBot="1" x14ac:dyDescent="0.25">
      <c r="A23" s="12">
        <v>2.2469999999999999</v>
      </c>
      <c r="B23">
        <v>2</v>
      </c>
      <c r="C23" s="2">
        <v>4</v>
      </c>
      <c r="D23" s="8">
        <f t="shared" si="1"/>
        <v>3.2356799999999999</v>
      </c>
      <c r="E23" s="7">
        <v>1.63</v>
      </c>
      <c r="F23" s="2">
        <v>118</v>
      </c>
      <c r="G23" s="5">
        <f t="shared" si="2"/>
        <v>1.18E-2</v>
      </c>
    </row>
    <row r="24" spans="1:7" ht="16" thickBot="1" x14ac:dyDescent="0.25">
      <c r="A24" s="12">
        <v>2.25</v>
      </c>
      <c r="B24">
        <v>2</v>
      </c>
      <c r="C24" s="2">
        <v>6</v>
      </c>
      <c r="D24" s="8">
        <f t="shared" si="1"/>
        <v>4.8600000000000003</v>
      </c>
      <c r="E24" s="7">
        <v>1.61</v>
      </c>
      <c r="F24" s="2">
        <v>119</v>
      </c>
      <c r="G24" s="5">
        <f t="shared" si="2"/>
        <v>1.1900000000000001E-2</v>
      </c>
    </row>
    <row r="25" spans="1:7" ht="16" thickBot="1" x14ac:dyDescent="0.25">
      <c r="A25" s="12">
        <v>2.2530000000000001</v>
      </c>
      <c r="B25">
        <v>2</v>
      </c>
      <c r="C25" s="2">
        <v>12</v>
      </c>
      <c r="D25" s="8">
        <f t="shared" si="1"/>
        <v>9.7329600000000003</v>
      </c>
      <c r="E25" s="7">
        <v>1.6</v>
      </c>
      <c r="F25" s="2">
        <v>120</v>
      </c>
      <c r="G25" s="5">
        <f t="shared" si="2"/>
        <v>1.2E-2</v>
      </c>
    </row>
    <row r="26" spans="1:7" ht="16" thickBot="1" x14ac:dyDescent="0.25">
      <c r="A26" s="12">
        <v>2.2559999999999998</v>
      </c>
      <c r="B26">
        <v>2</v>
      </c>
      <c r="C26" s="2">
        <v>16</v>
      </c>
      <c r="D26" s="8">
        <f t="shared" si="1"/>
        <v>12.99456</v>
      </c>
      <c r="E26" s="7">
        <v>1.6</v>
      </c>
      <c r="F26" s="2">
        <v>123</v>
      </c>
      <c r="G26" s="5">
        <f t="shared" si="2"/>
        <v>1.23E-2</v>
      </c>
    </row>
    <row r="27" spans="1:7" ht="16" thickBot="1" x14ac:dyDescent="0.25">
      <c r="A27" s="12">
        <v>2.2650000000000001</v>
      </c>
      <c r="B27">
        <v>2</v>
      </c>
      <c r="C27" s="2">
        <v>38</v>
      </c>
      <c r="D27" s="8">
        <f t="shared" si="1"/>
        <v>30.985200000000006</v>
      </c>
      <c r="E27" s="7">
        <v>1.62</v>
      </c>
      <c r="F27" s="2">
        <v>138</v>
      </c>
      <c r="G27" s="5">
        <f t="shared" si="2"/>
        <v>1.38E-2</v>
      </c>
    </row>
    <row r="28" spans="1:7" ht="16" thickBot="1" x14ac:dyDescent="0.25">
      <c r="A28" s="12">
        <v>2.2749999999999999</v>
      </c>
      <c r="B28">
        <v>2</v>
      </c>
      <c r="C28" s="2">
        <v>52</v>
      </c>
      <c r="D28" s="8">
        <f t="shared" si="1"/>
        <v>42.588000000000001</v>
      </c>
      <c r="E28" s="7">
        <v>1.58</v>
      </c>
      <c r="F28" s="2">
        <v>174</v>
      </c>
      <c r="G28" s="5">
        <f t="shared" si="2"/>
        <v>1.7399999999999999E-2</v>
      </c>
    </row>
    <row r="29" spans="1:7" ht="16" thickBot="1" x14ac:dyDescent="0.25">
      <c r="A29" s="12">
        <v>2.3199999999999998</v>
      </c>
      <c r="B29">
        <v>2</v>
      </c>
      <c r="C29" s="2">
        <v>80</v>
      </c>
      <c r="D29" s="8">
        <f t="shared" si="1"/>
        <v>66.816000000000003</v>
      </c>
      <c r="E29" s="7">
        <v>1.59</v>
      </c>
      <c r="F29" s="2">
        <v>342</v>
      </c>
      <c r="G29" s="5">
        <f t="shared" si="2"/>
        <v>3.4200000000000001E-2</v>
      </c>
    </row>
    <row r="30" spans="1:7" ht="16" thickBot="1" x14ac:dyDescent="0.25">
      <c r="A30" s="12">
        <v>2.4</v>
      </c>
      <c r="B30">
        <v>2</v>
      </c>
      <c r="C30" s="2">
        <v>90</v>
      </c>
      <c r="D30" s="8">
        <f t="shared" si="1"/>
        <v>77.760000000000005</v>
      </c>
      <c r="E30" s="7">
        <v>1.49</v>
      </c>
      <c r="F30" s="2">
        <v>672</v>
      </c>
      <c r="G30" s="5">
        <f t="shared" si="2"/>
        <v>6.7199999999999996E-2</v>
      </c>
    </row>
    <row r="31" spans="1:7" ht="16" thickBot="1" x14ac:dyDescent="0.25">
      <c r="A31" s="12">
        <v>2.6</v>
      </c>
      <c r="B31">
        <v>2</v>
      </c>
      <c r="C31" s="2">
        <v>92</v>
      </c>
      <c r="D31" s="8">
        <f t="shared" si="1"/>
        <v>86.111999999999995</v>
      </c>
      <c r="E31" s="7">
        <v>1.18</v>
      </c>
      <c r="F31" s="2">
        <v>1130</v>
      </c>
      <c r="G31" s="5">
        <f t="shared" si="2"/>
        <v>0.113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李思扬</dc:creator>
  <cp:lastModifiedBy>Diex Lin</cp:lastModifiedBy>
  <dcterms:created xsi:type="dcterms:W3CDTF">2015-06-05T18:19:00Z</dcterms:created>
  <dcterms:modified xsi:type="dcterms:W3CDTF">2024-12-09T06:37:25Z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4B14F75DB8024CD2B7BEBB62B7566DB9_13</vt:lpwstr>
  </property>
  <property fmtid="{D5CDD505-2E9C-101B-9397-08002B2CF9AE}" pid="3" name="KSOProductBuildVer">
    <vt:lpwstr>2052-12.1.0.16729</vt:lpwstr>
  </property>
</Properties>
</file>